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xence\Downloads\"/>
    </mc:Choice>
  </mc:AlternateContent>
  <xr:revisionPtr revIDLastSave="0" documentId="13_ncr:1_{1BF70C01-0393-47A9-AEB6-5EDD2EE55452}" xr6:coauthVersionLast="47" xr6:coauthVersionMax="47" xr10:uidLastSave="{00000000-0000-0000-0000-000000000000}"/>
  <bookViews>
    <workbookView xWindow="-28920" yWindow="-825" windowWidth="29040" windowHeight="15720" activeTab="1" xr2:uid="{00000000-000D-0000-FFFF-FFFF00000000}"/>
  </bookViews>
  <sheets>
    <sheet name="Garde" sheetId="1" r:id="rId1"/>
    <sheet name="Identification" sheetId="2" r:id="rId2"/>
    <sheet name="Epics" sheetId="3" r:id="rId3"/>
    <sheet name="Backlog" sheetId="4" r:id="rId4"/>
    <sheet name="DoR &amp; DoD" sheetId="5" r:id="rId5"/>
    <sheet name="Auto-évaluat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" i="4" l="1"/>
</calcChain>
</file>

<file path=xl/sharedStrings.xml><?xml version="1.0" encoding="utf-8"?>
<sst xmlns="http://schemas.openxmlformats.org/spreadsheetml/2006/main" count="377" uniqueCount="206">
  <si>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</si>
  <si>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</si>
  <si>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</si>
  <si>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</si>
  <si>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</si>
  <si>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</si>
  <si>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</si>
  <si>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</si>
  <si>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</si>
  <si>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</si>
  <si>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</si>
  <si>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>Sprint concerné</t>
  </si>
  <si>
    <t>Version</t>
  </si>
  <si>
    <t>Date de remise</t>
  </si>
  <si>
    <t>Statut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</si>
  <si>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</si>
  <si>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</si>
  <si>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</si>
  <si>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</si>
  <si>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</si>
  <si>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</si>
  <si>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</si>
  <si>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</si>
  <si>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</si>
  <si>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</si>
  <si>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</si>
  <si>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</si>
  <si>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</si>
  <si>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</si>
  <si>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</si>
  <si>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</si>
  <si>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</si>
  <si>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</si>
  <si>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</si>
  <si>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</si>
  <si>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</si>
  <si>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</si>
  <si>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</si>
  <si>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</si>
  <si>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</si>
  <si>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</si>
  <si>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</si>
  <si>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</si>
  <si>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</si>
  <si>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</si>
  <si>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</si>
  <si>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</si>
  <si>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</si>
  <si>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</si>
  <si>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</si>
  <si>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</si>
  <si>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</si>
  <si>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</si>
  <si>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</si>
  <si>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</si>
  <si>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</si>
  <si>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</si>
  <si>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</si>
  <si>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</si>
  <si>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</si>
  <si>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</si>
  <si>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</si>
  <si>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</si>
  <si>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</si>
  <si>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</si>
  <si>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</si>
  <si>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</si>
  <si>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</si>
  <si>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</si>
  <si>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</si>
  <si>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</si>
  <si>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</si>
  <si>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</si>
  <si>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</si>
  <si>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</si>
  <si>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</si>
  <si>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</si>
  <si>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</si>
  <si>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</si>
  <si>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</si>
  <si>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</si>
  <si>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</si>
  <si>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</si>
  <si>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</si>
  <si>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</si>
  <si>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</si>
  <si>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</si>
  <si>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</si>
  <si>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</si>
  <si>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</si>
  <si>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</si>
  <si>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</si>
  <si>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</si>
  <si>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</si>
  <si>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</si>
  <si>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</si>
  <si>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</si>
  <si>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</si>
  <si>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</si>
  <si>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</si>
  <si>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</si>
  <si>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</si>
  <si>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</si>
  <si>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</si>
  <si>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</si>
  <si>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</si>
  <si>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</si>
  <si>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</si>
  <si>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</si>
  <si>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</si>
  <si>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</si>
  <si>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</si>
  <si>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</si>
  <si>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</si>
  <si>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</si>
  <si>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Tous personas</t>
  </si>
  <si>
    <t>[1 critère type : bouton export → ZIP avec quizz.json + reponses.csv + audit.json]</t>
  </si>
  <si>
    <t>S5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</si>
  <si>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</si>
  <si>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</si>
  <si>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</si>
  <si>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</si>
  <si>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</si>
  <si>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</si>
  <si>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</si>
  <si>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</si>
  <si>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</si>
  <si>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</si>
  <si>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</si>
  <si>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</si>
  <si>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</si>
  <si>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</si>
  <si>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</si>
  <si>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</si>
  <si>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</si>
  <si>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</si>
  <si>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</si>
  <si>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</si>
  <si>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</si>
  <si>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</si>
  <si>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</si>
  <si>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</si>
  <si>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</si>
  <si>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</si>
  <si>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</si>
  <si>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</si>
  <si>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</si>
  <si>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</si>
  <si>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</si>
  <si>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</si>
  <si>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</si>
  <si>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</si>
  <si>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</si>
  <si>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</si>
  <si>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</si>
  <si>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</si>
  <si>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</si>
  <si>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</si>
  <si>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</si>
  <si>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</si>
  <si>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</si>
  <si>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</si>
  <si>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</si>
  <si>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</si>
  <si>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</si>
  <si>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</si>
  <si>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</si>
  <si>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</si>
  <si>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</si>
  <si>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</si>
  <si>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</si>
  <si>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</si>
  <si>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</si>
  <si>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</si>
  <si>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</si>
  <si>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</si>
  <si>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</si>
  <si>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☐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</si>
  <si>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</si>
  <si>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</si>
  <si>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</si>
  <si>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</si>
  <si>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</si>
  <si>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</si>
  <si>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</si>
  <si>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</si>
  <si>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</si>
  <si>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Adam AMRANE, Aurélie DEMURE, Marco Rafaël SALGADO SOARES DE FARIA, Sofiane OUADAH, Maxence PICAULT , Nassim BOUZERARA</t>
  </si>
  <si>
    <t>29/06/2026 15h00</t>
  </si>
  <si>
    <t>v1</t>
  </si>
  <si>
    <t>EP-07</t>
  </si>
  <si>
    <t>Suivi pédagogique enseignant</t>
  </si>
  <si>
    <t>US-21</t>
  </si>
  <si>
    <t>En tant qu'enseignante, je veux créer une classe et inviter mes étudiants via un code d'accès, afin de regrouper leurs résultats sous un même espace de suivi.</t>
  </si>
  <si>
    <t>US-22</t>
  </si>
  <si>
    <t>US-23</t>
  </si>
  <si>
    <t>En tant qu'enseignante, je veux consulter les scores agrégés de ma classe sur les quiz passés, afin d'avoir une vue d'ensemble de la progression du groupe.</t>
  </si>
  <si>
    <t>En tant qu'enseignante, je veux repérer les étudiants dont le score moyen passe sous un seuil défini, afin d'identifier rapidement ceux qui décrochent.</t>
  </si>
  <si>
    <t>En tant qu'enseignante, je veux envoyer un message ou un conseil personnalisé à un étudiant repéré en difficulté, afin de l'aider à se remobiliser.</t>
  </si>
  <si>
    <t>[1 critère type : G: enseignante authentifiée sur /classe/creer · W: saisit un nom de classe et valide · T: classe créée, code d'accès à 6 caractères généré, partageable aux étudiants]</t>
  </si>
  <si>
    <t>[1 critère type : G: une classe avec au moins 1 étudiant ayant passé un quiz · W: l'enseignante ouvre /classe/dashboard · T: liste des étudiants affichée avec score moyen, nb de quiz passés, date de dernière activité]</t>
  </si>
  <si>
    <t>[1 critère type : G: dashboard de classe avec scores agrégés disponible · W: un étudiant a un score moyen sous le seuil configuré (ex. 5/10) · T: l'étudiant apparaît surligné/filtré dans une vue "à surveiller"]</t>
  </si>
  <si>
    <t>Hors scope produit actuel (système de messagerie à construire de zéro, aucune validation du besoin).</t>
  </si>
  <si>
    <t>24 stories · 171 SP scope total · à arbitrer contre vélocité cible ~56 SP</t>
  </si>
  <si>
    <t>Cadrage</t>
  </si>
  <si>
    <t>En revue 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</si>
</sst>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72"/>
      <color rgb="FF1E1B4B"/>
      <name val="Calibri"/>
    </font>
    <font>
      <b/>
      <sz val="14"/>
      <color rgb="FF1E1B4B"/>
      <name val="Calibri"/>
    </font>
    <font>
      <b/>
      <sz val="10"/>
      <color rgb="FFF59E0B"/>
      <name val="Calibri"/>
    </font>
    <font>
      <b/>
      <sz val="24"/>
      <color rgb="FF1E1B4B"/>
      <name val="Calibri"/>
    </font>
    <font>
      <i/>
      <sz val="12"/>
      <color rgb="FF475569"/>
      <name val="Calibri"/>
    </font>
    <font>
      <b/>
      <sz val="11"/>
      <color rgb="FF475569"/>
      <name val="Calibri"/>
    </font>
    <font>
      <i/>
      <sz val="9"/>
      <color rgb="FF475569"/>
      <name val="Calibri"/>
    </font>
    <font>
      <b/>
      <sz val="12"/>
      <color rgb="FFF59E0B"/>
      <name val="Calibri"/>
    </font>
    <font>
      <i/>
      <sz val="10"/>
      <color rgb="FF475569"/>
      <name val="Calibri"/>
    </font>
    <font>
      <b/>
      <sz val="11"/>
      <color rgb="FF1E1B4B"/>
      <name val="Calibri"/>
    </font>
    <font>
      <i/>
      <sz val="11"/>
      <color rgb="FF475569"/>
      <name val="Calibri"/>
    </font>
    <font>
      <b/>
      <sz val="9"/>
      <color rgb="FFF59E0B"/>
      <name val="Calibri"/>
    </font>
    <font>
      <b/>
      <sz val="18"/>
      <color rgb="FF1E1B4B"/>
      <name val="Calibri"/>
    </font>
    <font>
      <b/>
      <sz val="11"/>
      <color rgb="FFFFFFFF"/>
      <name val="Calibri"/>
    </font>
    <font>
      <sz val="10"/>
      <color rgb="FF1E1B4B"/>
      <name val="Calibri"/>
    </font>
    <font>
      <b/>
      <sz val="11"/>
      <color rgb="FF1E1B4B"/>
      <name val="Calibri"/>
    </font>
    <font>
      <b/>
      <sz val="10"/>
      <color rgb="FF16A34A"/>
      <name val="Calibri"/>
    </font>
    <font>
      <b/>
      <sz val="10"/>
      <color rgb="FFDC2626"/>
      <name val="Calibri"/>
    </font>
    <font>
      <sz val="9"/>
      <color rgb="FF1E1B4B"/>
      <name val="Calibri"/>
    </font>
    <font>
      <b/>
      <sz val="10"/>
      <color rgb="FF1E1B4B"/>
      <name val="Calibri"/>
    </font>
    <font>
      <b/>
      <sz val="10"/>
      <color rgb="FFB45309"/>
      <name val="Calibri"/>
    </font>
    <font>
      <b/>
      <sz val="10"/>
      <color rgb="FF475569"/>
      <name val="Calibri"/>
    </font>
    <font>
      <b/>
      <sz val="14"/>
      <color rgb="FF16A34A"/>
      <name val="Calibri"/>
    </font>
    <font>
      <sz val="11"/>
      <color rgb="FF1E1B4B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2" borderId="1" xfId="0" applyFont="1" applyFill="1" applyBorder="1"/>
    <xf numFmtId="0" fontId="11" fillId="0" borderId="1" xfId="0" applyFont="1" applyBorder="1"/>
    <xf numFmtId="0" fontId="12" fillId="0" borderId="0" xfId="0" applyFont="1"/>
    <xf numFmtId="0" fontId="13" fillId="0" borderId="0" xfId="0" applyFont="1"/>
    <xf numFmtId="0" fontId="14" fillId="3" borderId="1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7" fillId="0" borderId="0" xfId="0" applyFont="1"/>
    <xf numFmtId="0" fontId="18" fillId="0" borderId="0" xfId="0" applyFont="1"/>
    <xf numFmtId="0" fontId="20" fillId="0" borderId="2" xfId="0" applyFont="1" applyBorder="1" applyAlignment="1">
      <alignment vertical="top" wrapText="1"/>
    </xf>
    <xf numFmtId="0" fontId="19" fillId="0" borderId="2" xfId="0" applyFont="1" applyBorder="1" applyAlignment="1">
      <alignment vertical="top" wrapText="1"/>
    </xf>
    <xf numFmtId="0" fontId="18" fillId="4" borderId="2" xfId="0" applyFont="1" applyFill="1" applyBorder="1" applyAlignment="1">
      <alignment horizontal="center" vertical="center"/>
    </xf>
    <xf numFmtId="0" fontId="21" fillId="5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22" fillId="7" borderId="2" xfId="0" applyFont="1" applyFill="1" applyBorder="1" applyAlignment="1">
      <alignment horizontal="center" vertical="center"/>
    </xf>
    <xf numFmtId="0" fontId="16" fillId="8" borderId="2" xfId="0" applyFont="1" applyFill="1" applyBorder="1"/>
    <xf numFmtId="0" fontId="0" fillId="8" borderId="2" xfId="0" applyFill="1" applyBorder="1"/>
    <xf numFmtId="0" fontId="9" fillId="8" borderId="2" xfId="0" applyFont="1" applyFill="1" applyBorder="1"/>
    <xf numFmtId="0" fontId="23" fillId="0" borderId="0" xfId="0" applyFont="1"/>
    <xf numFmtId="0" fontId="24" fillId="0" borderId="0" xfId="0" applyFo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14" fontId="11" fillId="0" borderId="1" xfId="0" applyNumberFormat="1" applyFont="1" applyBorder="1"/>
    <xf numFmtId="0" fontId="10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1"/>
  <sheetViews>
    <sheetView showGridLines="0" topLeftCell="A36" workbookViewId="0"/>
  </sheetViews>
  <sheetFormatPr baseColWidth="10" defaultColWidth="9.140625" defaultRowHeight="15" x14ac:dyDescent="0.25"/>
  <cols>
    <col min="1" max="1" width="4" customWidth="1"/>
    <col min="2" max="2" width="90" customWidth="1"/>
  </cols>
  <sheetData>
    <row r="2" spans="2:2" ht="92.25" x14ac:dyDescent="1.35">
      <c r="B2" s="1" t="s">
        <v>0</v>
      </c>
    </row>
    <row r="4" spans="2:2" ht="18.75" x14ac:dyDescent="0.3">
      <c r="B4" s="2" t="s">
        <v>1</v>
      </c>
    </row>
    <row r="8" spans="2:2" x14ac:dyDescent="0.25">
      <c r="B8" s="3" t="s">
        <v>2</v>
      </c>
    </row>
    <row r="10" spans="2:2" ht="31.5" x14ac:dyDescent="0.5">
      <c r="B10" s="4" t="s">
        <v>3</v>
      </c>
    </row>
    <row r="12" spans="2:2" ht="15.75" x14ac:dyDescent="0.25">
      <c r="B12" s="5" t="s">
        <v>4</v>
      </c>
    </row>
    <row r="20" spans="2:2" x14ac:dyDescent="0.25">
      <c r="B20" s="6" t="s">
        <v>5</v>
      </c>
    </row>
    <row r="21" spans="2:2" x14ac:dyDescent="0.25">
      <c r="B21" s="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showGridLines="0" tabSelected="1" workbookViewId="0">
      <selection activeCell="C19" sqref="C19"/>
    </sheetView>
  </sheetViews>
  <sheetFormatPr baseColWidth="10" defaultColWidth="9.140625" defaultRowHeight="15" x14ac:dyDescent="0.25"/>
  <cols>
    <col min="1" max="1" width="2" customWidth="1"/>
    <col min="2" max="2" width="25" customWidth="1"/>
    <col min="3" max="3" width="124.7109375" customWidth="1"/>
  </cols>
  <sheetData>
    <row r="2" spans="2:3" ht="15.75" x14ac:dyDescent="0.25">
      <c r="B2" s="8" t="s">
        <v>7</v>
      </c>
    </row>
    <row r="3" spans="2:3" x14ac:dyDescent="0.25">
      <c r="B3" s="9" t="s">
        <v>8</v>
      </c>
    </row>
    <row r="5" spans="2:3" ht="21.95" customHeight="1" x14ac:dyDescent="0.25">
      <c r="B5" s="10" t="s">
        <v>9</v>
      </c>
      <c r="C5" s="11">
        <v>29</v>
      </c>
    </row>
    <row r="6" spans="2:3" ht="21.95" customHeight="1" x14ac:dyDescent="0.25">
      <c r="B6" s="10" t="s">
        <v>10</v>
      </c>
      <c r="C6" s="11" t="s">
        <v>187</v>
      </c>
    </row>
    <row r="7" spans="2:3" ht="21.95" customHeight="1" x14ac:dyDescent="0.25">
      <c r="B7" s="10" t="s">
        <v>11</v>
      </c>
      <c r="C7" s="11" t="s">
        <v>204</v>
      </c>
    </row>
    <row r="8" spans="2:3" ht="21.95" customHeight="1" x14ac:dyDescent="0.25">
      <c r="B8" s="10" t="s">
        <v>12</v>
      </c>
      <c r="C8" s="11" t="s">
        <v>189</v>
      </c>
    </row>
    <row r="9" spans="2:3" ht="21.95" customHeight="1" x14ac:dyDescent="0.25">
      <c r="B9" s="10" t="s">
        <v>13</v>
      </c>
      <c r="C9" s="32" t="s">
        <v>188</v>
      </c>
    </row>
    <row r="10" spans="2:3" ht="21.95" customHeight="1" x14ac:dyDescent="0.25">
      <c r="B10" s="10" t="s">
        <v>14</v>
      </c>
      <c r="C10" s="11" t="s">
        <v>205</v>
      </c>
    </row>
    <row r="12" spans="2:3" x14ac:dyDescent="0.25">
      <c r="B12" s="12" t="s">
        <v>15</v>
      </c>
    </row>
    <row r="13" spans="2:3" x14ac:dyDescent="0.25">
      <c r="B13" s="7" t="s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showGridLines="0" workbookViewId="0">
      <selection activeCell="D16" sqref="D16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3" width="25" customWidth="1"/>
    <col min="4" max="4" width="32" customWidth="1"/>
    <col min="5" max="5" width="10" customWidth="1"/>
  </cols>
  <sheetData>
    <row r="1" spans="1:5" ht="23.25" x14ac:dyDescent="0.35">
      <c r="A1" s="13" t="s">
        <v>17</v>
      </c>
    </row>
    <row r="2" spans="1:5" x14ac:dyDescent="0.25">
      <c r="A2" s="9" t="s">
        <v>18</v>
      </c>
    </row>
    <row r="4" spans="1:5" x14ac:dyDescent="0.25">
      <c r="A4" s="3" t="s">
        <v>19</v>
      </c>
      <c r="B4" s="9" t="s">
        <v>20</v>
      </c>
    </row>
    <row r="6" spans="1:5" ht="30" x14ac:dyDescent="0.25">
      <c r="A6" s="14" t="s">
        <v>21</v>
      </c>
      <c r="B6" s="14" t="s">
        <v>22</v>
      </c>
      <c r="C6" s="14" t="s">
        <v>23</v>
      </c>
      <c r="D6" s="14" t="s">
        <v>24</v>
      </c>
      <c r="E6" s="14" t="s">
        <v>25</v>
      </c>
    </row>
    <row r="7" spans="1:5" ht="30" customHeight="1" x14ac:dyDescent="0.25">
      <c r="A7" s="15" t="s">
        <v>26</v>
      </c>
      <c r="B7" s="16" t="s">
        <v>27</v>
      </c>
      <c r="C7" s="16" t="s">
        <v>28</v>
      </c>
      <c r="D7" s="16" t="s">
        <v>29</v>
      </c>
      <c r="E7" s="16" t="s">
        <v>30</v>
      </c>
    </row>
    <row r="8" spans="1:5" ht="30" customHeight="1" x14ac:dyDescent="0.25">
      <c r="A8" s="15" t="s">
        <v>31</v>
      </c>
      <c r="B8" s="16" t="s">
        <v>32</v>
      </c>
      <c r="C8" s="16" t="s">
        <v>33</v>
      </c>
      <c r="D8" s="16" t="s">
        <v>34</v>
      </c>
      <c r="E8" s="16" t="s">
        <v>30</v>
      </c>
    </row>
    <row r="9" spans="1:5" ht="30" customHeight="1" x14ac:dyDescent="0.25">
      <c r="A9" s="15" t="s">
        <v>35</v>
      </c>
      <c r="B9" s="16" t="s">
        <v>36</v>
      </c>
      <c r="C9" s="16" t="s">
        <v>37</v>
      </c>
      <c r="D9" s="16" t="s">
        <v>38</v>
      </c>
      <c r="E9" s="16" t="s">
        <v>30</v>
      </c>
    </row>
    <row r="10" spans="1:5" ht="30" customHeight="1" x14ac:dyDescent="0.25">
      <c r="A10" s="15" t="s">
        <v>39</v>
      </c>
      <c r="B10" s="16" t="s">
        <v>40</v>
      </c>
      <c r="C10" s="16" t="s">
        <v>41</v>
      </c>
      <c r="D10" s="16" t="s">
        <v>42</v>
      </c>
      <c r="E10" s="16" t="s">
        <v>30</v>
      </c>
    </row>
    <row r="11" spans="1:5" ht="30" customHeight="1" x14ac:dyDescent="0.25">
      <c r="A11" s="15" t="s">
        <v>43</v>
      </c>
      <c r="B11" s="16" t="s">
        <v>44</v>
      </c>
      <c r="C11" s="16" t="s">
        <v>45</v>
      </c>
      <c r="D11" s="16" t="s">
        <v>46</v>
      </c>
      <c r="E11" s="16" t="s">
        <v>30</v>
      </c>
    </row>
    <row r="12" spans="1:5" ht="30" customHeight="1" x14ac:dyDescent="0.25">
      <c r="A12" s="15" t="s">
        <v>47</v>
      </c>
      <c r="B12" s="16" t="s">
        <v>48</v>
      </c>
      <c r="C12" s="16" t="s">
        <v>49</v>
      </c>
      <c r="D12" s="16" t="s">
        <v>50</v>
      </c>
      <c r="E12" s="16" t="s">
        <v>30</v>
      </c>
    </row>
    <row r="13" spans="1:5" ht="30" customHeight="1" x14ac:dyDescent="0.25">
      <c r="A13" s="33" t="s">
        <v>190</v>
      </c>
      <c r="B13" s="16" t="s">
        <v>191</v>
      </c>
      <c r="C13" s="16" t="s">
        <v>45</v>
      </c>
      <c r="D13" s="16" t="s">
        <v>50</v>
      </c>
      <c r="E13" s="16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4"/>
  <sheetViews>
    <sheetView showGridLines="0" workbookViewId="0">
      <pane ySplit="9" topLeftCell="A10" activePane="bottomLeft" state="frozen"/>
      <selection pane="bottomLeft" activeCell="M30" sqref="M30"/>
    </sheetView>
  </sheetViews>
  <sheetFormatPr baseColWidth="10" defaultColWidth="9.140625" defaultRowHeight="15" x14ac:dyDescent="0.25"/>
  <cols>
    <col min="1" max="2" width="8" customWidth="1"/>
    <col min="3" max="3" width="38" customWidth="1"/>
    <col min="4" max="4" width="13" customWidth="1"/>
    <col min="5" max="5" width="9" customWidth="1"/>
    <col min="6" max="6" width="6" customWidth="1"/>
    <col min="7" max="7" width="35" customWidth="1"/>
    <col min="8" max="9" width="6" customWidth="1"/>
    <col min="10" max="10" width="8" customWidth="1"/>
    <col min="11" max="11" width="10" customWidth="1"/>
  </cols>
  <sheetData>
    <row r="1" spans="1:11" ht="23.25" x14ac:dyDescent="0.35">
      <c r="A1" s="13" t="s">
        <v>51</v>
      </c>
    </row>
    <row r="2" spans="1:11" x14ac:dyDescent="0.25">
      <c r="A2" s="9" t="s">
        <v>52</v>
      </c>
    </row>
    <row r="4" spans="1:11" x14ac:dyDescent="0.25">
      <c r="A4" s="3" t="s">
        <v>19</v>
      </c>
      <c r="B4" s="9" t="s">
        <v>53</v>
      </c>
    </row>
    <row r="5" spans="1:11" x14ac:dyDescent="0.25">
      <c r="A5" s="3" t="s">
        <v>54</v>
      </c>
      <c r="B5" s="9" t="s">
        <v>55</v>
      </c>
    </row>
    <row r="6" spans="1:11" x14ac:dyDescent="0.25">
      <c r="A6" s="17" t="s">
        <v>56</v>
      </c>
      <c r="B6" s="9" t="s">
        <v>57</v>
      </c>
    </row>
    <row r="7" spans="1:11" x14ac:dyDescent="0.25">
      <c r="A7" s="18" t="s">
        <v>58</v>
      </c>
      <c r="B7" s="9" t="s">
        <v>59</v>
      </c>
    </row>
    <row r="9" spans="1:11" ht="30" x14ac:dyDescent="0.25">
      <c r="A9" s="14" t="s">
        <v>21</v>
      </c>
      <c r="B9" s="14" t="s">
        <v>22</v>
      </c>
      <c r="C9" s="14" t="s">
        <v>60</v>
      </c>
      <c r="D9" s="14" t="s">
        <v>61</v>
      </c>
      <c r="E9" s="14" t="s">
        <v>62</v>
      </c>
      <c r="F9" s="14" t="s">
        <v>63</v>
      </c>
      <c r="G9" s="14" t="s">
        <v>64</v>
      </c>
      <c r="H9" s="14" t="s">
        <v>65</v>
      </c>
      <c r="I9" s="14" t="s">
        <v>66</v>
      </c>
      <c r="J9" s="14" t="s">
        <v>67</v>
      </c>
      <c r="K9" s="14" t="s">
        <v>14</v>
      </c>
    </row>
    <row r="10" spans="1:11" ht="69.95" customHeight="1" x14ac:dyDescent="0.25">
      <c r="A10" s="19" t="s">
        <v>68</v>
      </c>
      <c r="B10" s="20" t="s">
        <v>26</v>
      </c>
      <c r="C10" s="20" t="s">
        <v>69</v>
      </c>
      <c r="D10" s="20" t="s">
        <v>70</v>
      </c>
      <c r="E10" s="21" t="s">
        <v>71</v>
      </c>
      <c r="F10" s="20">
        <v>3</v>
      </c>
      <c r="G10" s="20" t="s">
        <v>72</v>
      </c>
      <c r="H10" s="20" t="s">
        <v>73</v>
      </c>
      <c r="I10" s="20" t="s">
        <v>73</v>
      </c>
      <c r="J10" s="20" t="s">
        <v>74</v>
      </c>
      <c r="K10" s="20" t="s">
        <v>75</v>
      </c>
    </row>
    <row r="11" spans="1:11" ht="69.95" customHeight="1" x14ac:dyDescent="0.25">
      <c r="A11" s="19" t="s">
        <v>76</v>
      </c>
      <c r="B11" s="20" t="s">
        <v>31</v>
      </c>
      <c r="C11" s="20" t="s">
        <v>77</v>
      </c>
      <c r="D11" s="20" t="s">
        <v>70</v>
      </c>
      <c r="E11" s="21" t="s">
        <v>71</v>
      </c>
      <c r="F11" s="20">
        <v>5</v>
      </c>
      <c r="G11" s="20" t="s">
        <v>78</v>
      </c>
      <c r="H11" s="20" t="s">
        <v>73</v>
      </c>
      <c r="I11" s="20" t="s">
        <v>73</v>
      </c>
      <c r="J11" s="20" t="s">
        <v>74</v>
      </c>
      <c r="K11" s="20" t="s">
        <v>75</v>
      </c>
    </row>
    <row r="12" spans="1:11" ht="69.95" customHeight="1" x14ac:dyDescent="0.25">
      <c r="A12" s="19" t="s">
        <v>79</v>
      </c>
      <c r="B12" s="20" t="s">
        <v>35</v>
      </c>
      <c r="C12" s="20" t="s">
        <v>80</v>
      </c>
      <c r="D12" s="20" t="s">
        <v>70</v>
      </c>
      <c r="E12" s="21" t="s">
        <v>71</v>
      </c>
      <c r="F12" s="20">
        <v>8</v>
      </c>
      <c r="G12" s="20" t="s">
        <v>81</v>
      </c>
      <c r="H12" s="20" t="s">
        <v>73</v>
      </c>
      <c r="I12" s="20" t="s">
        <v>73</v>
      </c>
      <c r="J12" s="20" t="s">
        <v>82</v>
      </c>
      <c r="K12" s="20" t="s">
        <v>75</v>
      </c>
    </row>
    <row r="13" spans="1:11" ht="69.95" customHeight="1" x14ac:dyDescent="0.25">
      <c r="A13" s="19" t="s">
        <v>83</v>
      </c>
      <c r="B13" s="20" t="s">
        <v>39</v>
      </c>
      <c r="C13" s="20" t="s">
        <v>84</v>
      </c>
      <c r="D13" s="20" t="s">
        <v>70</v>
      </c>
      <c r="E13" s="21" t="s">
        <v>71</v>
      </c>
      <c r="F13" s="20">
        <v>3</v>
      </c>
      <c r="G13" s="20" t="s">
        <v>85</v>
      </c>
      <c r="H13" s="20" t="s">
        <v>73</v>
      </c>
      <c r="I13" s="20" t="s">
        <v>73</v>
      </c>
      <c r="J13" s="20" t="s">
        <v>86</v>
      </c>
      <c r="K13" s="20" t="s">
        <v>75</v>
      </c>
    </row>
    <row r="14" spans="1:11" ht="69.95" customHeight="1" x14ac:dyDescent="0.25">
      <c r="A14" s="19" t="s">
        <v>87</v>
      </c>
      <c r="B14" s="20" t="s">
        <v>39</v>
      </c>
      <c r="C14" s="20" t="s">
        <v>88</v>
      </c>
      <c r="D14" s="20" t="s">
        <v>70</v>
      </c>
      <c r="E14" s="21" t="s">
        <v>71</v>
      </c>
      <c r="F14" s="20">
        <v>3</v>
      </c>
      <c r="G14" s="20" t="s">
        <v>89</v>
      </c>
      <c r="H14" s="20" t="s">
        <v>73</v>
      </c>
      <c r="I14" s="20" t="s">
        <v>73</v>
      </c>
      <c r="J14" s="20" t="s">
        <v>86</v>
      </c>
      <c r="K14" s="20" t="s">
        <v>75</v>
      </c>
    </row>
    <row r="15" spans="1:11" ht="69.95" customHeight="1" x14ac:dyDescent="0.25">
      <c r="A15" s="19" t="s">
        <v>90</v>
      </c>
      <c r="B15" s="20" t="s">
        <v>43</v>
      </c>
      <c r="C15" s="20" t="s">
        <v>91</v>
      </c>
      <c r="D15" s="20" t="s">
        <v>70</v>
      </c>
      <c r="E15" s="21" t="s">
        <v>71</v>
      </c>
      <c r="F15" s="20">
        <v>3</v>
      </c>
      <c r="G15" s="20" t="s">
        <v>92</v>
      </c>
      <c r="H15" s="20" t="s">
        <v>73</v>
      </c>
      <c r="I15" s="20" t="s">
        <v>73</v>
      </c>
      <c r="J15" s="20" t="s">
        <v>93</v>
      </c>
      <c r="K15" s="20" t="s">
        <v>75</v>
      </c>
    </row>
    <row r="16" spans="1:11" ht="69.95" customHeight="1" x14ac:dyDescent="0.25">
      <c r="A16" s="19" t="s">
        <v>94</v>
      </c>
      <c r="B16" s="20" t="s">
        <v>26</v>
      </c>
      <c r="C16" s="20" t="s">
        <v>95</v>
      </c>
      <c r="D16" s="20" t="s">
        <v>70</v>
      </c>
      <c r="E16" s="22" t="s">
        <v>96</v>
      </c>
      <c r="F16" s="20">
        <v>3</v>
      </c>
      <c r="G16" s="20" t="s">
        <v>97</v>
      </c>
      <c r="H16" s="20" t="s">
        <v>73</v>
      </c>
      <c r="I16" s="20" t="s">
        <v>73</v>
      </c>
      <c r="J16" s="20" t="s">
        <v>98</v>
      </c>
      <c r="K16" s="20" t="s">
        <v>99</v>
      </c>
    </row>
    <row r="17" spans="1:11" ht="69.95" customHeight="1" x14ac:dyDescent="0.25">
      <c r="A17" s="19" t="s">
        <v>100</v>
      </c>
      <c r="B17" s="20" t="s">
        <v>31</v>
      </c>
      <c r="C17" s="20" t="s">
        <v>101</v>
      </c>
      <c r="D17" s="20" t="s">
        <v>70</v>
      </c>
      <c r="E17" s="22" t="s">
        <v>96</v>
      </c>
      <c r="F17" s="20">
        <v>5</v>
      </c>
      <c r="G17" s="20" t="s">
        <v>102</v>
      </c>
      <c r="H17" s="20" t="s">
        <v>73</v>
      </c>
      <c r="I17" s="20" t="s">
        <v>73</v>
      </c>
      <c r="J17" s="20" t="s">
        <v>98</v>
      </c>
      <c r="K17" s="20" t="s">
        <v>99</v>
      </c>
    </row>
    <row r="18" spans="1:11" ht="69.95" customHeight="1" x14ac:dyDescent="0.25">
      <c r="A18" s="19" t="s">
        <v>103</v>
      </c>
      <c r="B18" s="20" t="s">
        <v>35</v>
      </c>
      <c r="C18" s="20" t="s">
        <v>104</v>
      </c>
      <c r="D18" s="20" t="s">
        <v>70</v>
      </c>
      <c r="E18" s="22" t="s">
        <v>96</v>
      </c>
      <c r="F18" s="20">
        <v>5</v>
      </c>
      <c r="G18" s="20" t="s">
        <v>105</v>
      </c>
      <c r="H18" s="20" t="s">
        <v>73</v>
      </c>
      <c r="I18" s="20" t="s">
        <v>73</v>
      </c>
      <c r="J18" s="20" t="s">
        <v>98</v>
      </c>
      <c r="K18" s="20" t="s">
        <v>99</v>
      </c>
    </row>
    <row r="19" spans="1:11" ht="69.95" customHeight="1" x14ac:dyDescent="0.25">
      <c r="A19" s="19" t="s">
        <v>106</v>
      </c>
      <c r="B19" s="20" t="s">
        <v>39</v>
      </c>
      <c r="C19" s="20" t="s">
        <v>107</v>
      </c>
      <c r="D19" s="20" t="s">
        <v>70</v>
      </c>
      <c r="E19" s="22" t="s">
        <v>96</v>
      </c>
      <c r="F19" s="20">
        <v>3</v>
      </c>
      <c r="G19" s="20" t="s">
        <v>108</v>
      </c>
      <c r="H19" s="20" t="s">
        <v>73</v>
      </c>
      <c r="I19" s="20" t="s">
        <v>73</v>
      </c>
      <c r="J19" s="20" t="s">
        <v>109</v>
      </c>
      <c r="K19" s="20" t="s">
        <v>99</v>
      </c>
    </row>
    <row r="20" spans="1:11" ht="69.95" customHeight="1" x14ac:dyDescent="0.25">
      <c r="A20" s="19" t="s">
        <v>110</v>
      </c>
      <c r="B20" s="20" t="s">
        <v>43</v>
      </c>
      <c r="C20" s="20" t="s">
        <v>111</v>
      </c>
      <c r="D20" s="20" t="s">
        <v>70</v>
      </c>
      <c r="E20" s="22" t="s">
        <v>96</v>
      </c>
      <c r="F20" s="20">
        <v>5</v>
      </c>
      <c r="G20" s="20" t="s">
        <v>112</v>
      </c>
      <c r="H20" s="20" t="s">
        <v>73</v>
      </c>
      <c r="I20" s="20" t="s">
        <v>73</v>
      </c>
      <c r="J20" s="20" t="s">
        <v>109</v>
      </c>
      <c r="K20" s="20" t="s">
        <v>99</v>
      </c>
    </row>
    <row r="21" spans="1:11" ht="69.95" customHeight="1" x14ac:dyDescent="0.25">
      <c r="A21" s="19" t="s">
        <v>113</v>
      </c>
      <c r="B21" s="20" t="s">
        <v>47</v>
      </c>
      <c r="C21" s="20" t="s">
        <v>114</v>
      </c>
      <c r="D21" s="20" t="s">
        <v>115</v>
      </c>
      <c r="E21" s="22" t="s">
        <v>96</v>
      </c>
      <c r="F21" s="20">
        <v>5</v>
      </c>
      <c r="G21" s="20" t="s">
        <v>116</v>
      </c>
      <c r="H21" s="20" t="s">
        <v>73</v>
      </c>
      <c r="I21" s="20" t="s">
        <v>73</v>
      </c>
      <c r="J21" s="20" t="s">
        <v>117</v>
      </c>
      <c r="K21" s="20" t="s">
        <v>99</v>
      </c>
    </row>
    <row r="22" spans="1:11" ht="69.95" customHeight="1" x14ac:dyDescent="0.25">
      <c r="A22" s="19" t="s">
        <v>192</v>
      </c>
      <c r="B22" s="20" t="s">
        <v>190</v>
      </c>
      <c r="C22" s="20" t="s">
        <v>193</v>
      </c>
      <c r="D22" s="20" t="s">
        <v>127</v>
      </c>
      <c r="E22" s="22" t="s">
        <v>96</v>
      </c>
      <c r="F22" s="20">
        <v>8</v>
      </c>
      <c r="G22" s="20" t="s">
        <v>199</v>
      </c>
      <c r="H22" s="20" t="s">
        <v>73</v>
      </c>
      <c r="I22" s="20" t="s">
        <v>73</v>
      </c>
      <c r="J22" s="20" t="s">
        <v>30</v>
      </c>
      <c r="K22" s="20" t="s">
        <v>99</v>
      </c>
    </row>
    <row r="23" spans="1:11" ht="69.95" customHeight="1" x14ac:dyDescent="0.25">
      <c r="A23" s="19" t="s">
        <v>194</v>
      </c>
      <c r="B23" s="20" t="s">
        <v>190</v>
      </c>
      <c r="C23" s="20" t="s">
        <v>196</v>
      </c>
      <c r="D23" s="20" t="s">
        <v>127</v>
      </c>
      <c r="E23" s="22" t="s">
        <v>96</v>
      </c>
      <c r="F23" s="20">
        <v>8</v>
      </c>
      <c r="G23" s="20" t="s">
        <v>200</v>
      </c>
      <c r="H23" s="20" t="s">
        <v>73</v>
      </c>
      <c r="I23" s="20" t="s">
        <v>73</v>
      </c>
      <c r="J23" s="20" t="s">
        <v>30</v>
      </c>
      <c r="K23" s="20" t="s">
        <v>99</v>
      </c>
    </row>
    <row r="24" spans="1:11" ht="69.95" customHeight="1" x14ac:dyDescent="0.25">
      <c r="A24" s="19" t="s">
        <v>118</v>
      </c>
      <c r="B24" s="20" t="s">
        <v>26</v>
      </c>
      <c r="C24" s="20" t="s">
        <v>119</v>
      </c>
      <c r="D24" s="20" t="s">
        <v>70</v>
      </c>
      <c r="E24" s="23" t="s">
        <v>120</v>
      </c>
      <c r="F24" s="20">
        <v>5</v>
      </c>
      <c r="G24" s="20" t="s">
        <v>121</v>
      </c>
      <c r="H24" s="20" t="s">
        <v>73</v>
      </c>
      <c r="I24" s="20" t="s">
        <v>73</v>
      </c>
      <c r="J24" s="20" t="s">
        <v>30</v>
      </c>
      <c r="K24" s="20" t="s">
        <v>99</v>
      </c>
    </row>
    <row r="25" spans="1:11" ht="69.95" customHeight="1" x14ac:dyDescent="0.25">
      <c r="A25" s="19" t="s">
        <v>122</v>
      </c>
      <c r="B25" s="20" t="s">
        <v>31</v>
      </c>
      <c r="C25" s="20" t="s">
        <v>123</v>
      </c>
      <c r="D25" s="20" t="s">
        <v>70</v>
      </c>
      <c r="E25" s="23" t="s">
        <v>120</v>
      </c>
      <c r="F25" s="20">
        <v>8</v>
      </c>
      <c r="G25" s="20" t="s">
        <v>124</v>
      </c>
      <c r="H25" s="20" t="s">
        <v>73</v>
      </c>
      <c r="I25" s="20" t="s">
        <v>73</v>
      </c>
      <c r="J25" s="20" t="s">
        <v>30</v>
      </c>
      <c r="K25" s="20" t="s">
        <v>99</v>
      </c>
    </row>
    <row r="26" spans="1:11" ht="69.95" customHeight="1" x14ac:dyDescent="0.25">
      <c r="A26" s="19" t="s">
        <v>125</v>
      </c>
      <c r="B26" s="20" t="s">
        <v>35</v>
      </c>
      <c r="C26" s="20" t="s">
        <v>126</v>
      </c>
      <c r="D26" s="20" t="s">
        <v>127</v>
      </c>
      <c r="E26" s="23" t="s">
        <v>120</v>
      </c>
      <c r="F26" s="20">
        <v>13</v>
      </c>
      <c r="G26" s="20" t="s">
        <v>128</v>
      </c>
      <c r="H26" s="20" t="s">
        <v>73</v>
      </c>
      <c r="I26" s="20" t="s">
        <v>73</v>
      </c>
      <c r="J26" s="20" t="s">
        <v>30</v>
      </c>
      <c r="K26" s="20" t="s">
        <v>99</v>
      </c>
    </row>
    <row r="27" spans="1:11" ht="69.95" customHeight="1" x14ac:dyDescent="0.25">
      <c r="A27" s="19" t="s">
        <v>129</v>
      </c>
      <c r="B27" s="20" t="s">
        <v>43</v>
      </c>
      <c r="C27" s="20" t="s">
        <v>130</v>
      </c>
      <c r="D27" s="20" t="s">
        <v>70</v>
      </c>
      <c r="E27" s="23" t="s">
        <v>120</v>
      </c>
      <c r="F27" s="20">
        <v>8</v>
      </c>
      <c r="G27" s="20" t="s">
        <v>131</v>
      </c>
      <c r="H27" s="20" t="s">
        <v>73</v>
      </c>
      <c r="I27" s="20" t="s">
        <v>73</v>
      </c>
      <c r="J27" s="20" t="s">
        <v>30</v>
      </c>
      <c r="K27" s="20" t="s">
        <v>99</v>
      </c>
    </row>
    <row r="28" spans="1:11" ht="69.95" customHeight="1" x14ac:dyDescent="0.25">
      <c r="A28" s="19" t="s">
        <v>132</v>
      </c>
      <c r="B28" s="20" t="s">
        <v>47</v>
      </c>
      <c r="C28" s="20" t="s">
        <v>133</v>
      </c>
      <c r="D28" s="20" t="s">
        <v>115</v>
      </c>
      <c r="E28" s="23" t="s">
        <v>120</v>
      </c>
      <c r="F28" s="20">
        <v>5</v>
      </c>
      <c r="G28" s="20" t="s">
        <v>134</v>
      </c>
      <c r="H28" s="20" t="s">
        <v>73</v>
      </c>
      <c r="I28" s="20" t="s">
        <v>73</v>
      </c>
      <c r="J28" s="20" t="s">
        <v>30</v>
      </c>
      <c r="K28" s="20" t="s">
        <v>99</v>
      </c>
    </row>
    <row r="29" spans="1:11" ht="69.95" customHeight="1" x14ac:dyDescent="0.25">
      <c r="A29" s="19" t="s">
        <v>195</v>
      </c>
      <c r="B29" s="20" t="s">
        <v>190</v>
      </c>
      <c r="C29" s="20" t="s">
        <v>197</v>
      </c>
      <c r="D29" s="20" t="s">
        <v>127</v>
      </c>
      <c r="E29" s="23" t="s">
        <v>120</v>
      </c>
      <c r="F29" s="20">
        <v>5</v>
      </c>
      <c r="G29" s="20" t="s">
        <v>201</v>
      </c>
      <c r="H29" s="20" t="s">
        <v>73</v>
      </c>
      <c r="I29" s="20" t="s">
        <v>73</v>
      </c>
      <c r="J29" s="20" t="s">
        <v>30</v>
      </c>
      <c r="K29" s="20" t="s">
        <v>99</v>
      </c>
    </row>
    <row r="30" spans="1:11" ht="69.95" customHeight="1" x14ac:dyDescent="0.25">
      <c r="A30" s="19" t="s">
        <v>135</v>
      </c>
      <c r="B30" s="20" t="s">
        <v>26</v>
      </c>
      <c r="C30" s="20" t="s">
        <v>136</v>
      </c>
      <c r="D30" s="20" t="s">
        <v>137</v>
      </c>
      <c r="E30" s="24" t="s">
        <v>138</v>
      </c>
      <c r="F30" s="20">
        <v>13</v>
      </c>
      <c r="G30" s="20" t="s">
        <v>139</v>
      </c>
      <c r="H30" s="20" t="s">
        <v>30</v>
      </c>
      <c r="I30" s="20" t="s">
        <v>30</v>
      </c>
      <c r="J30" s="20" t="s">
        <v>30</v>
      </c>
      <c r="K30" s="20" t="s">
        <v>140</v>
      </c>
    </row>
    <row r="31" spans="1:11" ht="69.95" customHeight="1" x14ac:dyDescent="0.25">
      <c r="A31" s="19" t="s">
        <v>141</v>
      </c>
      <c r="B31" s="20" t="s">
        <v>35</v>
      </c>
      <c r="C31" s="20" t="s">
        <v>142</v>
      </c>
      <c r="D31" s="20" t="s">
        <v>70</v>
      </c>
      <c r="E31" s="24" t="s">
        <v>138</v>
      </c>
      <c r="F31" s="20">
        <v>21</v>
      </c>
      <c r="G31" s="20" t="s">
        <v>143</v>
      </c>
      <c r="H31" s="20" t="s">
        <v>30</v>
      </c>
      <c r="I31" s="20" t="s">
        <v>30</v>
      </c>
      <c r="J31" s="20" t="s">
        <v>30</v>
      </c>
      <c r="K31" s="20" t="s">
        <v>140</v>
      </c>
    </row>
    <row r="32" spans="1:11" ht="69.95" customHeight="1" x14ac:dyDescent="0.25">
      <c r="A32" s="19" t="s">
        <v>144</v>
      </c>
      <c r="B32" s="20" t="s">
        <v>39</v>
      </c>
      <c r="C32" s="20" t="s">
        <v>145</v>
      </c>
      <c r="D32" s="20" t="s">
        <v>70</v>
      </c>
      <c r="E32" s="24" t="s">
        <v>138</v>
      </c>
      <c r="F32" s="20">
        <v>13</v>
      </c>
      <c r="G32" s="20" t="s">
        <v>146</v>
      </c>
      <c r="H32" s="20" t="s">
        <v>30</v>
      </c>
      <c r="I32" s="20" t="s">
        <v>30</v>
      </c>
      <c r="J32" s="20" t="s">
        <v>30</v>
      </c>
      <c r="K32" s="20" t="s">
        <v>140</v>
      </c>
    </row>
    <row r="33" spans="1:11" ht="69.95" customHeight="1" x14ac:dyDescent="0.25">
      <c r="A33" s="19" t="s">
        <v>195</v>
      </c>
      <c r="B33" s="20" t="s">
        <v>190</v>
      </c>
      <c r="C33" s="20" t="s">
        <v>198</v>
      </c>
      <c r="D33" s="20" t="s">
        <v>127</v>
      </c>
      <c r="E33" s="24" t="s">
        <v>138</v>
      </c>
      <c r="F33" s="20">
        <v>13</v>
      </c>
      <c r="G33" s="20" t="s">
        <v>202</v>
      </c>
      <c r="H33" s="20" t="s">
        <v>30</v>
      </c>
      <c r="I33" s="20" t="s">
        <v>30</v>
      </c>
      <c r="J33" s="20" t="s">
        <v>30</v>
      </c>
      <c r="K33" s="20" t="s">
        <v>140</v>
      </c>
    </row>
    <row r="34" spans="1:11" x14ac:dyDescent="0.25">
      <c r="A34" s="25" t="s">
        <v>147</v>
      </c>
      <c r="B34" s="26"/>
      <c r="C34" s="26"/>
      <c r="D34" s="26"/>
      <c r="E34" s="26"/>
      <c r="F34" s="25">
        <f>SUM(F10:F33)</f>
        <v>171</v>
      </c>
      <c r="G34" s="27" t="s">
        <v>203</v>
      </c>
      <c r="H34" s="26"/>
      <c r="I34" s="26"/>
      <c r="J34" s="26"/>
      <c r="K34" s="26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showGridLines="0" workbookViewId="0"/>
  </sheetViews>
  <sheetFormatPr baseColWidth="10" defaultColWidth="9.140625" defaultRowHeight="15" x14ac:dyDescent="0.25"/>
  <cols>
    <col min="1" max="1" width="95" customWidth="1"/>
  </cols>
  <sheetData>
    <row r="1" spans="1:1" ht="23.25" x14ac:dyDescent="0.35">
      <c r="A1" s="13" t="s">
        <v>148</v>
      </c>
    </row>
    <row r="2" spans="1:1" x14ac:dyDescent="0.25">
      <c r="A2" s="9" t="s">
        <v>149</v>
      </c>
    </row>
    <row r="4" spans="1:1" ht="18.75" x14ac:dyDescent="0.3">
      <c r="A4" s="28" t="s">
        <v>150</v>
      </c>
    </row>
    <row r="5" spans="1:1" x14ac:dyDescent="0.25">
      <c r="A5" s="9" t="s">
        <v>151</v>
      </c>
    </row>
    <row r="7" spans="1:1" x14ac:dyDescent="0.25">
      <c r="A7" s="29" t="s">
        <v>152</v>
      </c>
    </row>
    <row r="8" spans="1:1" x14ac:dyDescent="0.25">
      <c r="A8" s="29" t="s">
        <v>153</v>
      </c>
    </row>
    <row r="9" spans="1:1" x14ac:dyDescent="0.25">
      <c r="A9" s="29" t="s">
        <v>154</v>
      </c>
    </row>
    <row r="10" spans="1:1" x14ac:dyDescent="0.25">
      <c r="A10" s="29" t="s">
        <v>155</v>
      </c>
    </row>
    <row r="11" spans="1:1" x14ac:dyDescent="0.25">
      <c r="A11" s="29" t="s">
        <v>156</v>
      </c>
    </row>
    <row r="12" spans="1:1" x14ac:dyDescent="0.25">
      <c r="A12" s="29" t="s">
        <v>157</v>
      </c>
    </row>
    <row r="13" spans="1:1" x14ac:dyDescent="0.25">
      <c r="A13" s="29" t="s">
        <v>158</v>
      </c>
    </row>
    <row r="14" spans="1:1" x14ac:dyDescent="0.25">
      <c r="A14" s="29" t="s">
        <v>159</v>
      </c>
    </row>
    <row r="17" spans="1:1" ht="18.75" x14ac:dyDescent="0.3">
      <c r="A17" s="28" t="s">
        <v>160</v>
      </c>
    </row>
    <row r="18" spans="1:1" x14ac:dyDescent="0.25">
      <c r="A18" s="9" t="s">
        <v>161</v>
      </c>
    </row>
    <row r="20" spans="1:1" x14ac:dyDescent="0.25">
      <c r="A20" s="29" t="s">
        <v>162</v>
      </c>
    </row>
    <row r="21" spans="1:1" x14ac:dyDescent="0.25">
      <c r="A21" s="29" t="s">
        <v>163</v>
      </c>
    </row>
    <row r="22" spans="1:1" x14ac:dyDescent="0.25">
      <c r="A22" s="29" t="s">
        <v>164</v>
      </c>
    </row>
    <row r="23" spans="1:1" x14ac:dyDescent="0.25">
      <c r="A23" s="29" t="s">
        <v>165</v>
      </c>
    </row>
    <row r="24" spans="1:1" x14ac:dyDescent="0.25">
      <c r="A24" s="29" t="s">
        <v>166</v>
      </c>
    </row>
    <row r="25" spans="1:1" x14ac:dyDescent="0.25">
      <c r="A25" s="29" t="s">
        <v>167</v>
      </c>
    </row>
    <row r="26" spans="1:1" x14ac:dyDescent="0.25">
      <c r="A26" s="29" t="s">
        <v>168</v>
      </c>
    </row>
    <row r="27" spans="1:1" x14ac:dyDescent="0.25">
      <c r="A27" s="29" t="s">
        <v>169</v>
      </c>
    </row>
    <row r="28" spans="1:1" x14ac:dyDescent="0.25">
      <c r="A28" s="29" t="s">
        <v>170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D15"/>
  <sheetViews>
    <sheetView workbookViewId="0"/>
  </sheetViews>
  <sheetFormatPr baseColWidth="10" defaultColWidth="9.140625" defaultRowHeight="15" x14ac:dyDescent="0.25"/>
  <cols>
    <col min="1" max="1" width="2" customWidth="1"/>
    <col min="2" max="2" width="50" customWidth="1"/>
    <col min="3" max="3" width="25" customWidth="1"/>
    <col min="4" max="4" width="40" customWidth="1"/>
  </cols>
  <sheetData>
    <row r="2" spans="1:4" ht="18.75" x14ac:dyDescent="0.3">
      <c r="B2" s="2" t="s">
        <v>171</v>
      </c>
    </row>
    <row r="3" spans="1:4" x14ac:dyDescent="0.25">
      <c r="B3" s="9" t="s">
        <v>172</v>
      </c>
    </row>
    <row r="5" spans="1:4" x14ac:dyDescent="0.25">
      <c r="A5" s="14"/>
      <c r="B5" s="14" t="s">
        <v>173</v>
      </c>
      <c r="C5" s="14" t="s">
        <v>174</v>
      </c>
      <c r="D5" t="s">
        <v>175</v>
      </c>
    </row>
    <row r="6" spans="1:4" ht="30" customHeight="1" x14ac:dyDescent="0.25">
      <c r="B6" s="30" t="s">
        <v>176</v>
      </c>
      <c r="C6" s="31" t="s">
        <v>177</v>
      </c>
      <c r="D6" s="30"/>
    </row>
    <row r="7" spans="1:4" ht="30" customHeight="1" x14ac:dyDescent="0.25">
      <c r="B7" s="30" t="s">
        <v>178</v>
      </c>
      <c r="C7" s="31" t="s">
        <v>177</v>
      </c>
      <c r="D7" s="30"/>
    </row>
    <row r="8" spans="1:4" ht="30" customHeight="1" x14ac:dyDescent="0.25">
      <c r="B8" s="30" t="s">
        <v>179</v>
      </c>
      <c r="C8" s="31" t="s">
        <v>177</v>
      </c>
      <c r="D8" s="30"/>
    </row>
    <row r="9" spans="1:4" ht="30" customHeight="1" x14ac:dyDescent="0.25">
      <c r="B9" s="30" t="s">
        <v>180</v>
      </c>
      <c r="C9" s="31" t="s">
        <v>177</v>
      </c>
      <c r="D9" s="30"/>
    </row>
    <row r="10" spans="1:4" ht="30" customHeight="1" x14ac:dyDescent="0.25">
      <c r="B10" s="30" t="s">
        <v>181</v>
      </c>
      <c r="C10" s="31" t="s">
        <v>177</v>
      </c>
      <c r="D10" s="30"/>
    </row>
    <row r="11" spans="1:4" ht="30" customHeight="1" x14ac:dyDescent="0.25">
      <c r="B11" s="30" t="s">
        <v>182</v>
      </c>
      <c r="C11" s="31" t="s">
        <v>177</v>
      </c>
      <c r="D11" s="30"/>
    </row>
    <row r="12" spans="1:4" ht="30" customHeight="1" x14ac:dyDescent="0.25">
      <c r="B12" s="30" t="s">
        <v>183</v>
      </c>
      <c r="C12" s="31" t="s">
        <v>177</v>
      </c>
      <c r="D12" s="30"/>
    </row>
    <row r="13" spans="1:4" ht="30" customHeight="1" x14ac:dyDescent="0.25">
      <c r="B13" s="30" t="s">
        <v>184</v>
      </c>
      <c r="C13" s="31" t="s">
        <v>177</v>
      </c>
      <c r="D13" s="30"/>
    </row>
    <row r="14" spans="1:4" ht="30" customHeight="1" x14ac:dyDescent="0.25">
      <c r="B14" s="30" t="s">
        <v>185</v>
      </c>
      <c r="C14" s="31" t="s">
        <v>177</v>
      </c>
      <c r="D14" s="30"/>
    </row>
    <row r="15" spans="1:4" ht="30" customHeight="1" x14ac:dyDescent="0.25">
      <c r="B15" s="30" t="s">
        <v>186</v>
      </c>
      <c r="C15" s="31" t="s">
        <v>177</v>
      </c>
      <c r="D15" s="3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Garde</vt:lpstr>
      <vt:lpstr>Identification</vt:lpstr>
      <vt:lpstr>Epics</vt:lpstr>
      <vt:lpstr>Backlog</vt:lpstr>
      <vt:lpstr>DoR &amp; DoD</vt:lpstr>
      <vt:lpstr>Auto-évaluation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Maxence PICAULT</cp:lastModifiedBy>
  <dcterms:created xsi:type="dcterms:W3CDTF">2026-06-25T22:39:08Z</dcterms:created>
  <dcterms:modified xsi:type="dcterms:W3CDTF">2026-06-30T07:29:58Z</dcterms:modified>
</cp:coreProperties>
</file>